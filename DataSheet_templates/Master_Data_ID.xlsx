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hidden" name="OTP_Store" sheetId="2" r:id="rId6"/>
    <sheet state="visible" name="Login" sheetId="3" r:id="rId7"/>
    <sheet state="visible" name="All Menu" sheetId="4" r:id="rId8"/>
    <sheet state="visible" name="Admin-menu" sheetId="5" r:id="rId9"/>
    <sheet state="visible" name="User-Menu" sheetId="6" r:id="rId10"/>
    <sheet state="visible" name="BR-Menu" sheetId="7" r:id="rId11"/>
    <sheet state="visible" name="Profiles" sheetId="8" r:id="rId12"/>
    <sheet state="visible" name="Team" sheetId="9" r:id="rId13"/>
    <sheet state="visible" name="scroll texts" sheetId="10" r:id="rId14"/>
    <sheet state="visible" name="icons" sheetId="11" r:id="rId15"/>
    <sheet state="visible" name="settings" sheetId="12" r:id="rId16"/>
    <sheet state="visible" name="Schema" sheetId="13" r:id="rId17"/>
    <sheet state="visible" name="Dashboard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tc={df9e6ef4-cf44-4a17-bdb3-e41a635e579b}</author>
  </authors>
  <commentList>
    <comment authorId="0" xr:uid="{df9e6ef4-cf44-4a17-bdb3-e41a635e579b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Users
</t>
      </text>
    </comment>
  </commentList>
</comments>
</file>

<file path=xl/sharedStrings.xml><?xml version="1.0" encoding="utf-8"?>
<sst xmlns="http://schemas.openxmlformats.org/spreadsheetml/2006/main" count="107" uniqueCount="66">
  <si>
    <t xml:space="preserve"> 🔒 Locked</t>
  </si>
  <si>
    <t>sdwan.keralatreasury@gmail.com</t>
  </si>
  <si>
    <t>Admin</t>
  </si>
  <si>
    <t>sdwan.keralareasury@gmail.com</t>
  </si>
  <si>
    <t>mohan</t>
  </si>
  <si>
    <t>gokul.922621@kerala.gov.in</t>
  </si>
  <si>
    <t>Gokul G</t>
  </si>
  <si>
    <t>Branch/User</t>
  </si>
  <si>
    <t>User ID</t>
  </si>
  <si>
    <t>Password</t>
  </si>
  <si>
    <t>Menu</t>
  </si>
  <si>
    <t>Mail ID</t>
  </si>
  <si>
    <t>OTP</t>
  </si>
  <si>
    <t>Login Time Stamp</t>
  </si>
  <si>
    <t>Office</t>
  </si>
  <si>
    <t>User2</t>
  </si>
  <si>
    <t>user</t>
  </si>
  <si>
    <t>User-Menu</t>
  </si>
  <si>
    <t>admin</t>
  </si>
  <si>
    <t>Admin@123</t>
  </si>
  <si>
    <t>Admin-menu</t>
  </si>
  <si>
    <t>Main menu</t>
  </si>
  <si>
    <t>Sub Menu</t>
  </si>
  <si>
    <t>link item</t>
  </si>
  <si>
    <t>Url</t>
  </si>
  <si>
    <t>Admin-Menu</t>
  </si>
  <si>
    <t>BR-Menu</t>
  </si>
  <si>
    <t>General</t>
  </si>
  <si>
    <t>Dashboard</t>
  </si>
  <si>
    <t>./main-dashboard.html</t>
  </si>
  <si>
    <t>Yes</t>
  </si>
  <si>
    <t>No</t>
  </si>
  <si>
    <t>Add/Edit Menu</t>
  </si>
  <si>
    <t>./menu-list.html</t>
  </si>
  <si>
    <t>Add/Edit User</t>
  </si>
  <si>
    <t>./add-edit-user.html</t>
  </si>
  <si>
    <t>Column 5</t>
  </si>
  <si>
    <t>Column 6</t>
  </si>
  <si>
    <t xml:space="preserve">Name </t>
  </si>
  <si>
    <t>Designation</t>
  </si>
  <si>
    <t>Contact No.1</t>
  </si>
  <si>
    <t>Contact No.2</t>
  </si>
  <si>
    <t>Email ID</t>
  </si>
  <si>
    <t>About</t>
  </si>
  <si>
    <t>Profile Image url</t>
  </si>
  <si>
    <t>Active(Yes/No)</t>
  </si>
  <si>
    <t xml:space="preserve">Scoll texts </t>
  </si>
  <si>
    <t>Main menu-icon</t>
  </si>
  <si>
    <t>Sub Menu-icon</t>
  </si>
  <si>
    <t>link item-icon</t>
  </si>
  <si>
    <t>Main Menu</t>
  </si>
  <si>
    <t>&lt;i class="bi bi-tools"&gt;&lt;/i&gt;</t>
  </si>
  <si>
    <t>Submenu</t>
  </si>
  <si>
    <t>&lt;i class="bi bi-router text-success"&gt;&lt;/i&gt;</t>
  </si>
  <si>
    <t xml:space="preserve"> Dashboard</t>
  </si>
  <si>
    <t>&lt;i class="bi bi-speedometer2"&gt;&lt;/i&gt;</t>
  </si>
  <si>
    <t>Bg Color Code</t>
  </si>
  <si>
    <t>Text &amp; Icon Color Code</t>
  </si>
  <si>
    <t>Bi Bi Icon</t>
  </si>
  <si>
    <t>Count</t>
  </si>
  <si>
    <t>Count Item</t>
  </si>
  <si>
    <t>Link to Open</t>
  </si>
  <si>
    <t>#fff</t>
  </si>
  <si>
    <t>#f379aa</t>
  </si>
  <si>
    <t>bi bi-box-arrow-in-right</t>
  </si>
  <si>
    <t>Users &amp; Branch(es) Login Today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</si>
</sst>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,\ hh:mm:ss"/>
    <numFmt numFmtId="165" formatCode="dd/mm/yyyy\ hh:mm:ss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sz val="10.0"/>
      <color rgb="FF6AA84F"/>
      <name val="Arial"/>
    </font>
    <font>
      <sz val="10.0"/>
      <color rgb="FF4A86E8"/>
      <name val="Arial"/>
    </font>
    <font>
      <sz val="10.0"/>
      <color theme="10"/>
      <name val="Arial"/>
    </font>
    <font>
      <u/>
      <sz val="10.0"/>
      <color rgb="FF0000FF"/>
      <name val="Roboto"/>
    </font>
    <font>
      <sz val="10.0"/>
      <color rgb="FF434343"/>
      <name val="Roboto"/>
    </font>
    <font>
      <color theme="1"/>
      <name val="Arial"/>
      <scheme val="minor"/>
    </font>
    <font>
      <sz val="10.0"/>
      <color rgb="FF333333"/>
      <name val="SFMono-Regular"/>
    </font>
    <font>
      <sz val="10.0"/>
      <color theme="1"/>
      <name val="SFMono-Regular"/>
    </font>
    <font>
      <sz val="10.0"/>
      <color rgb="FFABB2BF"/>
      <name val="SFMono-Regular"/>
    </font>
    <font>
      <sz val="10.0"/>
      <color rgb="FF1F1F1F"/>
      <name val="Google Sans"/>
    </font>
    <font>
      <sz val="10.0"/>
      <color rgb="FF383A42"/>
      <name val="Arial"/>
    </font>
    <font>
      <sz val="9.0"/>
      <color rgb="FF1C1B21"/>
      <name val="Monospace"/>
    </font>
    <font>
      <sz val="9.0"/>
      <color rgb="FF1C1B21"/>
      <name val="Arial"/>
    </font>
    <font>
      <sz val="10.0"/>
      <color rgb="FF333333"/>
      <name val="Arial"/>
    </font>
    <font>
      <u/>
      <sz val="10.0"/>
      <color rgb="FF0000FF"/>
      <name val="Arial"/>
    </font>
    <font>
      <sz val="10.0"/>
      <color rgb="FFABB2BF"/>
      <name val="Arial"/>
    </font>
    <font>
      <sz val="10.0"/>
      <color rgb="FF56B6C2"/>
      <name val="SFMono-Regular"/>
    </font>
  </fonts>
  <fills count="6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BFF"/>
        <bgColor rgb="FFFFFBFF"/>
      </patternFill>
    </fill>
  </fills>
  <borders count="4">
    <border/>
    <border>
      <left style="thin">
        <color rgb="FFF8FAF8"/>
      </left>
      <right style="thin">
        <color rgb="FFF8FAF8"/>
      </right>
      <top style="thin">
        <color rgb="FFF8FAF8"/>
      </top>
      <bottom style="thin">
        <color rgb="FFF8FAF8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164" xfId="0" applyBorder="1" applyFont="1" applyNumberForma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2" fillId="3" fontId="1" numFmtId="0" xfId="0" applyBorder="1" applyFill="1" applyFont="1"/>
    <xf borderId="0" fillId="0" fontId="8" numFmtId="0" xfId="0" applyAlignment="1" applyFont="1">
      <alignment vertical="center"/>
    </xf>
    <xf borderId="0" fillId="0" fontId="9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1" numFmtId="0" xfId="0" applyFont="1"/>
    <xf borderId="0" fillId="0" fontId="12" numFmtId="0" xfId="0" applyAlignment="1" applyFont="1">
      <alignment vertical="center"/>
    </xf>
    <xf borderId="2" fillId="4" fontId="13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2" fillId="5" fontId="15" numFmtId="0" xfId="0" applyAlignment="1" applyBorder="1" applyFill="1" applyFont="1">
      <alignment vertical="center"/>
    </xf>
    <xf borderId="2" fillId="5" fontId="16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1" fillId="2" fontId="2" numFmtId="0" xfId="0" applyBorder="1" applyFont="1"/>
    <xf borderId="0" fillId="0" fontId="1" numFmtId="0" xfId="0" applyFont="1"/>
    <xf borderId="0" fillId="0" fontId="18" numFmtId="0" xfId="0" applyFont="1"/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Login-style">
      <tableStyleElement dxfId="1" type="headerRow"/>
      <tableStyleElement dxfId="2" type="firstRowStripe"/>
      <tableStyleElement dxfId="3" type="secondRowStripe"/>
    </tableStyle>
    <tableStyle count="3" pivot="0" name="All Menu-style">
      <tableStyleElement dxfId="4" type="headerRow"/>
      <tableStyleElement dxfId="2" type="firstRowStripe"/>
      <tableStyleElement dxfId="3" type="secondRowStripe"/>
    </tableStyle>
    <tableStyle count="3" pivot="0" name="Admin-menu-style">
      <tableStyleElement dxfId="4" type="headerRow"/>
      <tableStyleElement dxfId="2" type="firstRowStripe"/>
      <tableStyleElement dxfId="3" type="secondRowStripe"/>
    </tableStyle>
    <tableStyle count="3" pivot="0" name="User-Menu-style">
      <tableStyleElement dxfId="1" type="headerRow"/>
      <tableStyleElement dxfId="2" type="firstRowStripe"/>
      <tableStyleElement dxfId="3" type="secondRowStripe"/>
    </tableStyle>
    <tableStyle count="3" pivot="0" name="BR-Menu-style">
      <tableStyleElement dxfId="1" type="headerRow"/>
      <tableStyleElement dxfId="2" type="firstRowStripe"/>
      <tableStyleElement dxfId="3" type="secondRowStripe"/>
    </tableStyle>
    <tableStyle count="3" pivot="0" name="Team-style">
      <tableStyleElement dxfId="1" type="headerRow"/>
      <tableStyleElement dxfId="2" type="firstRowStripe"/>
      <tableStyleElement dxfId="3" type="secondRowStripe"/>
    </tableStyle>
    <tableStyle count="3" pivot="0" name="scroll texts-style">
      <tableStyleElement dxfId="5" type="headerRow"/>
      <tableStyleElement dxfId="2" type="firstRowStripe"/>
      <tableStyleElement dxfId="6" type="secondRowStripe"/>
    </tableStyle>
    <tableStyle count="3" pivot="0" name="icons-style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b486d9a5-4bab-4f2e-9785-8a83f51645c8}" providerId="google-sheets"/>
</x18tc:personList>
</file>

<file path=xl/tables/table1.xml><?xml version="1.0" encoding="utf-8"?>
<table xmlns="http://schemas.openxmlformats.org/spreadsheetml/2006/main" ref="A1:H3" displayName="Table_1" name="Table_1" id="1">
  <tableColumns count="8">
    <tableColumn name="Branch/User" id="1"/>
    <tableColumn name="User ID" id="2"/>
    <tableColumn name="Password" id="3"/>
    <tableColumn name="Menu" id="4"/>
    <tableColumn name="Mail ID" id="5"/>
    <tableColumn name="OTP" id="6"/>
    <tableColumn name="Login Time Stamp" id="7"/>
    <tableColumn name="Office" id="8"/>
  </tableColumns>
  <tableStyleInfo name="Login-style" showColumnStripes="0" showFirstColumn="1" showLastColumn="1" showRowStripes="1"/>
</table>
</file>

<file path=xl/tables/table2.xml><?xml version="1.0" encoding="utf-8"?>
<table xmlns="http://schemas.openxmlformats.org/spreadsheetml/2006/main" ref="A1:G5" displayName="Table_2" name="Table_2" id="2">
  <tableColumns count="7">
    <tableColumn name="Main menu" id="1"/>
    <tableColumn name="Sub Menu" id="2"/>
    <tableColumn name="link item" id="3"/>
    <tableColumn name="Url" id="4"/>
    <tableColumn name="Admin-Menu" id="5"/>
    <tableColumn name="BR-Menu" id="6"/>
    <tableColumn name="User-Menu" id="7"/>
  </tableColumns>
  <tableStyleInfo name="All Menu-style" showColumnStripes="0" showFirstColumn="1" showLastColumn="1" showRowStripes="1"/>
</table>
</file>

<file path=xl/tables/table3.xml><?xml version="1.0" encoding="utf-8"?>
<table xmlns="http://schemas.openxmlformats.org/spreadsheetml/2006/main" ref="A1:F6" displayName="Table_3" name="Table_3" id="3">
  <tableColumns count="6">
    <tableColumn name="Main menu" id="1"/>
    <tableColumn name="Sub Menu" id="2"/>
    <tableColumn name="link item" id="3"/>
    <tableColumn name="Url" id="4"/>
    <tableColumn name="Column 5" id="5"/>
    <tableColumn name="Column 6" id="6"/>
  </tableColumns>
  <tableStyleInfo name="Admin-menu-style" showColumnStripes="0" showFirstColumn="1" showLastColumn="1" showRowStripes="1"/>
</table>
</file>

<file path=xl/tables/table4.xml><?xml version="1.0" encoding="utf-8"?>
<table xmlns="http://schemas.openxmlformats.org/spreadsheetml/2006/main" ref="A1:D50" displayName="Table_4" name="Table_4" id="4">
  <tableColumns count="4">
    <tableColumn name="Main menu" id="1"/>
    <tableColumn name="Sub Menu" id="2"/>
    <tableColumn name="link item" id="3"/>
    <tableColumn name="Url" id="4"/>
  </tableColumns>
  <tableStyleInfo name="User-Menu-style" showColumnStripes="0" showFirstColumn="1" showLastColumn="1" showRowStripes="1"/>
</table>
</file>

<file path=xl/tables/table5.xml><?xml version="1.0" encoding="utf-8"?>
<table xmlns="http://schemas.openxmlformats.org/spreadsheetml/2006/main" ref="A1:F30" displayName="Table_5" name="Table_5" id="5">
  <tableColumns count="6">
    <tableColumn name="Main menu" id="1"/>
    <tableColumn name="Sub Menu" id="2"/>
    <tableColumn name="link item" id="3"/>
    <tableColumn name="Url" id="4"/>
    <tableColumn name="Column 5" id="5"/>
    <tableColumn name="Column 6" id="6"/>
  </tableColumns>
  <tableStyleInfo name="BR-Menu-style" showColumnStripes="0" showFirstColumn="1" showLastColumn="1" showRowStripes="1"/>
</table>
</file>

<file path=xl/tables/table6.xml><?xml version="1.0" encoding="utf-8"?>
<table xmlns="http://schemas.openxmlformats.org/spreadsheetml/2006/main" ref="A1:I2" displayName="Table_6" name="Table_6" id="6">
  <tableColumns count="9">
    <tableColumn name="Name " id="1"/>
    <tableColumn name="Designation" id="2"/>
    <tableColumn name="Office" id="3"/>
    <tableColumn name="Contact No.1" id="4"/>
    <tableColumn name="Contact No.2" id="5"/>
    <tableColumn name="Email ID" id="6"/>
    <tableColumn name="About" id="7"/>
    <tableColumn name="Profile Image url" id="8"/>
    <tableColumn name="Active(Yes/No)" id="9"/>
  </tableColumns>
  <tableStyleInfo name="Team-style" showColumnStripes="0" showFirstColumn="1" showLastColumn="1" showRowStripes="1"/>
</table>
</file>

<file path=xl/tables/table7.xml><?xml version="1.0" encoding="utf-8"?>
<table xmlns="http://schemas.openxmlformats.org/spreadsheetml/2006/main" headerRowCount="0" ref="A1:B3" displayName="Table_7" name="Table_7" id="7">
  <tableColumns count="2">
    <tableColumn name="Column1" id="1"/>
    <tableColumn name="Column2" id="2"/>
  </tableColumns>
  <tableStyleInfo name="scroll tex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F57" displayName="Table_8" name="Table_8" id="8">
  <tableColumns count="6">
    <tableColumn name="Main menu" id="1"/>
    <tableColumn name="Main menu-icon" id="2"/>
    <tableColumn name="Sub Menu" id="3"/>
    <tableColumn name="Sub Menu-icon" id="4"/>
    <tableColumn name="link item" id="5"/>
    <tableColumn name="link item-icon" id="6"/>
  </tableColumns>
  <tableStyleInfo name="icons-style" showColumnStripes="0" showFirstColumn="1" showLastColumn="1" showRowStripes="1"/>
</table>
</file>

<file path=xl/tables/table9.xml><?xml version="1.0" encoding="utf-8"?>
<table xmlns="http://schemas.openxmlformats.org/spreadsheetml/2006/main" ref="A1:F18" displayName="Table_9" name="Table_9" id="9">
  <tableColumns count="6">
    <tableColumn name="Bg Color Code" id="1"/>
    <tableColumn name="Text &amp; Icon Color Code" id="2"/>
    <tableColumn name="Bi Bi Icon" id="3"/>
    <tableColumn name="Count" id="4"/>
    <tableColumn name="Count Item" id="5"/>
    <tableColumn name="Link to Open" id="6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6-22T10:31:12.00" personId="{b486d9a5-4bab-4f2e-9785-8a83f51645c8}" id="{df9e6ef4-cf44-4a17-bdb3-e41a635e579b}" done="0">
    <x18tc:text xml:space="preserve">Users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4" width="12.63"/>
    <col customWidth="1" min="5" max="5" width="30.75"/>
    <col customWidth="1" min="6" max="6" width="12.63"/>
  </cols>
  <sheetData>
    <row r="1" ht="15.75" customHeight="1">
      <c r="A1" s="2" t="s">
        <v>1</v>
      </c>
      <c r="B1" s="2">
        <v>719369.0</v>
      </c>
      <c r="C1" s="2">
        <v>1.778752756793E12</v>
      </c>
      <c r="D1" s="2" t="s">
        <v>2</v>
      </c>
      <c r="E1" s="3">
        <v>46156.63837962963</v>
      </c>
    </row>
    <row r="2" ht="15.75" customHeight="1">
      <c r="A2" s="2" t="s">
        <v>3</v>
      </c>
      <c r="B2" s="2">
        <v>457000.0</v>
      </c>
      <c r="C2" s="2">
        <v>1.778753934294E12</v>
      </c>
      <c r="D2" s="2" t="s">
        <v>4</v>
      </c>
      <c r="E2" s="3">
        <v>46156.65201388889</v>
      </c>
    </row>
    <row r="3" ht="15.75" customHeight="1">
      <c r="A3" s="2" t="s">
        <v>3</v>
      </c>
      <c r="B3" s="2">
        <v>933885.0</v>
      </c>
      <c r="C3" s="2">
        <v>1.778753968532E12</v>
      </c>
      <c r="D3" s="2" t="s">
        <v>4</v>
      </c>
      <c r="E3" s="3">
        <v>46156.652407407404</v>
      </c>
    </row>
    <row r="4" ht="15.75" customHeight="1">
      <c r="A4" s="2" t="s">
        <v>1</v>
      </c>
      <c r="B4" s="2">
        <v>503897.0</v>
      </c>
      <c r="C4" s="2">
        <v>1.77875479161E12</v>
      </c>
      <c r="D4" s="2" t="s">
        <v>2</v>
      </c>
      <c r="E4" s="3">
        <v>46156.66193287037</v>
      </c>
    </row>
    <row r="5" ht="15.75" customHeight="1">
      <c r="A5" s="2" t="s">
        <v>1</v>
      </c>
      <c r="B5" s="2">
        <v>806697.0</v>
      </c>
      <c r="C5" s="2">
        <v>1.778757016252E12</v>
      </c>
      <c r="D5" s="2" t="s">
        <v>2</v>
      </c>
      <c r="E5" s="3">
        <v>46156.687685185185</v>
      </c>
    </row>
    <row r="6" ht="15.75" customHeight="1">
      <c r="A6" s="2" t="s">
        <v>5</v>
      </c>
      <c r="B6" s="2">
        <v>964023.0</v>
      </c>
      <c r="C6" s="2">
        <v>1.778757034994E12</v>
      </c>
      <c r="D6" s="2" t="s">
        <v>6</v>
      </c>
      <c r="E6" s="3">
        <v>46156.687893518516</v>
      </c>
    </row>
    <row r="7" ht="15.75" customHeight="1">
      <c r="A7" s="2" t="s">
        <v>5</v>
      </c>
      <c r="B7" s="2">
        <v>841481.0</v>
      </c>
      <c r="C7" s="2">
        <v>1.781673092091E12</v>
      </c>
      <c r="D7" s="2" t="s">
        <v>6</v>
      </c>
      <c r="E7" s="3">
        <v>46190.438564814816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9.63"/>
    <col customWidth="1" min="2" max="2" width="11.13" outlineLevel="1"/>
    <col customWidth="1" min="3" max="3" width="14.75" outlineLevel="1"/>
    <col customWidth="1" min="4" max="4" width="15.38" outlineLevel="1"/>
    <col customWidth="1" min="5" max="5" width="27.13" outlineLevel="1"/>
    <col customWidth="1" min="6" max="6" width="12.63" outlineLevel="1"/>
    <col customWidth="1" min="7" max="7" width="21.88"/>
    <col customWidth="1" min="8" max="8" width="46.38"/>
  </cols>
  <sheetData>
    <row r="1" ht="22.5" customHeight="1">
      <c r="A1" s="4" t="s">
        <v>7</v>
      </c>
      <c r="B1" s="4" t="s">
        <v>8</v>
      </c>
      <c r="C1" s="4" t="s">
        <v>9</v>
      </c>
      <c r="D1" s="5" t="s">
        <v>10</v>
      </c>
      <c r="E1" s="4" t="s">
        <v>11</v>
      </c>
      <c r="F1" s="4" t="s">
        <v>12</v>
      </c>
      <c r="G1" s="5" t="s">
        <v>13</v>
      </c>
      <c r="H1" s="4" t="s">
        <v>14</v>
      </c>
    </row>
    <row r="2" ht="22.5" customHeight="1">
      <c r="A2" s="6" t="s">
        <v>15</v>
      </c>
      <c r="B2" s="7" t="s">
        <v>16</v>
      </c>
      <c r="C2" s="8" t="s">
        <v>16</v>
      </c>
      <c r="D2" s="8" t="s">
        <v>17</v>
      </c>
      <c r="E2" s="9"/>
      <c r="F2" s="8"/>
      <c r="G2" s="10"/>
      <c r="H2" s="8"/>
    </row>
    <row r="3" ht="22.5" customHeight="1">
      <c r="A3" s="6" t="s">
        <v>18</v>
      </c>
      <c r="B3" s="7" t="s">
        <v>2</v>
      </c>
      <c r="C3" s="11" t="s">
        <v>19</v>
      </c>
      <c r="D3" s="8" t="s">
        <v>20</v>
      </c>
      <c r="E3" s="9"/>
      <c r="F3" s="8"/>
      <c r="G3" s="10"/>
      <c r="H3" s="8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3">
      <formula1>"User-Menu,Admin-menu,BR-Menu"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24.38"/>
    <col customWidth="1" min="4" max="4" width="52.88"/>
    <col customWidth="1" min="5" max="5" width="14.63"/>
    <col customWidth="1" min="6" max="7" width="13.38"/>
  </cols>
  <sheetData>
    <row r="1" ht="24.0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17</v>
      </c>
    </row>
    <row r="2" ht="15.75" customHeight="1">
      <c r="A2" s="8" t="s">
        <v>27</v>
      </c>
      <c r="B2" s="12" t="s">
        <v>2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31</v>
      </c>
    </row>
    <row r="3" ht="15.75" customHeight="1">
      <c r="A3" s="8" t="s">
        <v>27</v>
      </c>
      <c r="B3" s="12" t="s">
        <v>2</v>
      </c>
      <c r="C3" s="13" t="s">
        <v>32</v>
      </c>
      <c r="D3" s="13" t="s">
        <v>33</v>
      </c>
      <c r="E3" s="13" t="s">
        <v>30</v>
      </c>
      <c r="F3" s="13" t="s">
        <v>31</v>
      </c>
      <c r="G3" s="13" t="s">
        <v>31</v>
      </c>
    </row>
    <row r="4" ht="15.75" customHeight="1">
      <c r="A4" s="8" t="s">
        <v>27</v>
      </c>
      <c r="B4" s="12" t="s">
        <v>2</v>
      </c>
      <c r="C4" s="13" t="s">
        <v>34</v>
      </c>
      <c r="D4" s="13" t="s">
        <v>35</v>
      </c>
      <c r="E4" s="13" t="s">
        <v>30</v>
      </c>
      <c r="F4" s="13" t="s">
        <v>31</v>
      </c>
      <c r="G4" s="13" t="s">
        <v>31</v>
      </c>
    </row>
    <row r="5" ht="15.75" customHeight="1">
      <c r="A5" s="8"/>
      <c r="B5" s="8"/>
      <c r="C5" s="8"/>
      <c r="D5" s="8"/>
      <c r="E5" s="8"/>
      <c r="F5" s="8"/>
      <c r="G5" s="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G5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24.38"/>
    <col customWidth="1" min="4" max="4" width="39.0"/>
    <col customWidth="1" min="5" max="5" width="5.38"/>
    <col customWidth="1" min="6" max="6" width="5.63"/>
  </cols>
  <sheetData>
    <row r="1" ht="24.0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36</v>
      </c>
      <c r="F1" s="5" t="s">
        <v>37</v>
      </c>
    </row>
    <row r="2" ht="15.75" customHeight="1">
      <c r="A2" s="8" t="str">
        <f>IFERROR(__xludf.DUMMYFUNCTION(" FILTER('All Menu'!A2:F1000,'All Menu'!E2:E1000=""Yes"")"),"General")</f>
        <v>General</v>
      </c>
      <c r="B2" s="8" t="str">
        <f>IFERROR(__xludf.DUMMYFUNCTION("""COMPUTED_VALUE"""),"Admin")</f>
        <v>Admin</v>
      </c>
      <c r="C2" s="8" t="str">
        <f>IFERROR(__xludf.DUMMYFUNCTION("""COMPUTED_VALUE"""),"Dashboard")</f>
        <v>Dashboard</v>
      </c>
      <c r="D2" s="8" t="str">
        <f>IFERROR(__xludf.DUMMYFUNCTION("""COMPUTED_VALUE"""),"./main-dashboard.html")</f>
        <v>./main-dashboard.html</v>
      </c>
      <c r="E2" s="8" t="str">
        <f>IFERROR(__xludf.DUMMYFUNCTION("""COMPUTED_VALUE"""),"Yes")</f>
        <v>Yes</v>
      </c>
      <c r="F2" s="8" t="str">
        <f>IFERROR(__xludf.DUMMYFUNCTION("""COMPUTED_VALUE"""),"No")</f>
        <v>No</v>
      </c>
    </row>
    <row r="3" ht="15.75" customHeight="1">
      <c r="A3" s="8" t="str">
        <f>IFERROR(__xludf.DUMMYFUNCTION("""COMPUTED_VALUE"""),"General")</f>
        <v>General</v>
      </c>
      <c r="B3" s="8" t="str">
        <f>IFERROR(__xludf.DUMMYFUNCTION("""COMPUTED_VALUE"""),"Admin")</f>
        <v>Admin</v>
      </c>
      <c r="C3" s="8" t="str">
        <f>IFERROR(__xludf.DUMMYFUNCTION("""COMPUTED_VALUE"""),"Add/Edit Menu")</f>
        <v>Add/Edit Menu</v>
      </c>
      <c r="D3" s="8" t="str">
        <f>IFERROR(__xludf.DUMMYFUNCTION("""COMPUTED_VALUE"""),"./menu-list.html")</f>
        <v>./menu-list.html</v>
      </c>
      <c r="E3" s="8" t="str">
        <f>IFERROR(__xludf.DUMMYFUNCTION("""COMPUTED_VALUE"""),"Yes")</f>
        <v>Yes</v>
      </c>
      <c r="F3" s="8" t="str">
        <f>IFERROR(__xludf.DUMMYFUNCTION("""COMPUTED_VALUE"""),"No")</f>
        <v>No</v>
      </c>
    </row>
    <row r="4" ht="15.75" customHeight="1">
      <c r="A4" s="8" t="str">
        <f>IFERROR(__xludf.DUMMYFUNCTION("""COMPUTED_VALUE"""),"General")</f>
        <v>General</v>
      </c>
      <c r="B4" s="8" t="str">
        <f>IFERROR(__xludf.DUMMYFUNCTION("""COMPUTED_VALUE"""),"Admin")</f>
        <v>Admin</v>
      </c>
      <c r="C4" s="8" t="str">
        <f>IFERROR(__xludf.DUMMYFUNCTION("""COMPUTED_VALUE"""),"Add/Edit User")</f>
        <v>Add/Edit User</v>
      </c>
      <c r="D4" s="8" t="str">
        <f>IFERROR(__xludf.DUMMYFUNCTION("""COMPUTED_VALUE"""),"./add-edit-user.html")</f>
        <v>./add-edit-user.html</v>
      </c>
      <c r="E4" s="8" t="str">
        <f>IFERROR(__xludf.DUMMYFUNCTION("""COMPUTED_VALUE"""),"Yes")</f>
        <v>Yes</v>
      </c>
      <c r="F4" s="8" t="str">
        <f>IFERROR(__xludf.DUMMYFUNCTION("""COMPUTED_VALUE"""),"No")</f>
        <v>No</v>
      </c>
    </row>
    <row r="5" ht="15.75" customHeight="1">
      <c r="A5" s="8"/>
      <c r="B5" s="8"/>
      <c r="C5" s="8"/>
      <c r="D5" s="8"/>
      <c r="E5" s="8"/>
      <c r="F5" s="8"/>
    </row>
    <row r="6" ht="15.75" customHeight="1">
      <c r="A6" s="8"/>
      <c r="B6" s="8"/>
      <c r="C6" s="8"/>
      <c r="D6" s="8"/>
      <c r="E6" s="8"/>
      <c r="F6" s="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24.38"/>
    <col customWidth="1" min="4" max="4" width="39.0"/>
    <col customWidth="1" min="5" max="6" width="12.63"/>
  </cols>
  <sheetData>
    <row r="1" ht="24.0" customHeight="1">
      <c r="A1" s="5" t="s">
        <v>21</v>
      </c>
      <c r="B1" s="5" t="s">
        <v>22</v>
      </c>
      <c r="C1" s="5" t="s">
        <v>23</v>
      </c>
      <c r="D1" s="5" t="s">
        <v>24</v>
      </c>
    </row>
    <row r="2" ht="22.5" customHeight="1">
      <c r="A2" s="8" t="str">
        <f>IFERROR(__xludf.DUMMYFUNCTION("FILTER('All Menu'!A2:D1000,'All Menu'!G2:G1000=""Yes"")"),"#N/A")</f>
        <v>#N/A</v>
      </c>
      <c r="B2" s="8"/>
      <c r="C2" s="8"/>
      <c r="D2" s="8"/>
    </row>
    <row r="3" ht="22.5" customHeight="1">
      <c r="A3" s="8"/>
      <c r="B3" s="8"/>
      <c r="C3" s="8"/>
      <c r="D3" s="8"/>
    </row>
    <row r="4" ht="22.5" customHeight="1">
      <c r="A4" s="8"/>
      <c r="B4" s="8"/>
      <c r="C4" s="8"/>
      <c r="D4" s="8"/>
    </row>
    <row r="5" ht="22.5" customHeight="1">
      <c r="A5" s="8"/>
      <c r="B5" s="8"/>
      <c r="C5" s="8"/>
      <c r="D5" s="8"/>
    </row>
    <row r="6" ht="22.5" customHeight="1">
      <c r="A6" s="8"/>
      <c r="B6" s="8"/>
      <c r="C6" s="8"/>
      <c r="D6" s="8"/>
    </row>
    <row r="7" ht="22.5" customHeight="1">
      <c r="A7" s="8"/>
      <c r="B7" s="8"/>
      <c r="C7" s="8"/>
      <c r="D7" s="8"/>
    </row>
    <row r="8" ht="22.5" customHeight="1">
      <c r="A8" s="8"/>
      <c r="B8" s="8"/>
      <c r="C8" s="8"/>
      <c r="D8" s="8"/>
    </row>
    <row r="9" ht="22.5" customHeight="1">
      <c r="A9" s="8"/>
      <c r="B9" s="8"/>
      <c r="C9" s="8"/>
      <c r="D9" s="8"/>
    </row>
    <row r="10" ht="22.5" customHeight="1">
      <c r="A10" s="8"/>
      <c r="B10" s="8"/>
      <c r="C10" s="8"/>
      <c r="D10" s="8"/>
    </row>
    <row r="11" ht="22.5" customHeight="1">
      <c r="A11" s="8"/>
      <c r="B11" s="8"/>
      <c r="C11" s="8"/>
      <c r="D11" s="8"/>
    </row>
    <row r="12" ht="22.5" customHeight="1">
      <c r="A12" s="8"/>
      <c r="B12" s="8"/>
      <c r="C12" s="8"/>
      <c r="D12" s="8"/>
    </row>
    <row r="13" ht="22.5" customHeight="1">
      <c r="A13" s="8"/>
      <c r="B13" s="8"/>
      <c r="C13" s="8"/>
      <c r="D13" s="8"/>
    </row>
    <row r="14" ht="22.5" customHeight="1">
      <c r="A14" s="8"/>
      <c r="B14" s="8"/>
      <c r="C14" s="8"/>
      <c r="D14" s="8"/>
    </row>
    <row r="15" ht="22.5" customHeight="1">
      <c r="A15" s="8"/>
      <c r="B15" s="8"/>
      <c r="C15" s="8"/>
      <c r="D15" s="8"/>
    </row>
    <row r="16" ht="22.5" customHeight="1">
      <c r="A16" s="8"/>
      <c r="B16" s="8"/>
      <c r="C16" s="8"/>
      <c r="D16" s="8"/>
    </row>
    <row r="17" ht="22.5" customHeight="1">
      <c r="A17" s="8"/>
      <c r="B17" s="8"/>
      <c r="C17" s="8"/>
      <c r="D17" s="8"/>
    </row>
    <row r="18" ht="22.5" customHeight="1">
      <c r="A18" s="8"/>
      <c r="B18" s="8"/>
      <c r="C18" s="8"/>
      <c r="D18" s="8"/>
    </row>
    <row r="19" ht="22.5" customHeight="1">
      <c r="A19" s="8"/>
      <c r="B19" s="8"/>
      <c r="C19" s="8"/>
      <c r="D19" s="8"/>
    </row>
    <row r="20" ht="22.5" customHeight="1">
      <c r="A20" s="8"/>
      <c r="B20" s="8"/>
      <c r="C20" s="8"/>
      <c r="D20" s="8"/>
    </row>
    <row r="21" ht="22.5" customHeight="1">
      <c r="A21" s="8"/>
      <c r="B21" s="8"/>
      <c r="C21" s="8"/>
      <c r="D21" s="8"/>
    </row>
    <row r="22" ht="22.5" customHeight="1">
      <c r="A22" s="8"/>
      <c r="B22" s="8"/>
      <c r="C22" s="8"/>
      <c r="D22" s="8"/>
    </row>
    <row r="23" ht="22.5" customHeight="1">
      <c r="A23" s="8"/>
      <c r="B23" s="8"/>
      <c r="C23" s="8"/>
      <c r="D23" s="8"/>
    </row>
    <row r="24" ht="22.5" customHeight="1">
      <c r="A24" s="8"/>
      <c r="B24" s="8"/>
      <c r="C24" s="8"/>
      <c r="D24" s="8"/>
    </row>
    <row r="25" ht="22.5" customHeight="1">
      <c r="A25" s="8"/>
      <c r="B25" s="8"/>
      <c r="C25" s="8"/>
      <c r="D25" s="14"/>
    </row>
    <row r="26" ht="22.5" customHeight="1">
      <c r="A26" s="8"/>
      <c r="B26" s="8"/>
      <c r="C26" s="8"/>
      <c r="D26" s="8"/>
    </row>
    <row r="27" ht="22.5" customHeight="1">
      <c r="A27" s="8"/>
      <c r="B27" s="8"/>
      <c r="C27" s="8"/>
      <c r="D27" s="8"/>
    </row>
    <row r="28" ht="22.5" customHeight="1">
      <c r="A28" s="8"/>
      <c r="B28" s="8"/>
      <c r="C28" s="8"/>
      <c r="D28" s="8"/>
    </row>
    <row r="29" ht="22.5" customHeight="1">
      <c r="A29" s="8"/>
      <c r="B29" s="8"/>
      <c r="C29" s="8"/>
      <c r="D29" s="8"/>
    </row>
    <row r="30" ht="22.5" customHeight="1">
      <c r="A30" s="8"/>
      <c r="B30" s="8"/>
      <c r="C30" s="8"/>
      <c r="D30" s="8"/>
    </row>
    <row r="31" ht="22.5" customHeight="1">
      <c r="A31" s="8"/>
      <c r="B31" s="8"/>
      <c r="C31" s="8"/>
      <c r="D31" s="8"/>
    </row>
    <row r="32" ht="22.5" customHeight="1">
      <c r="A32" s="8"/>
      <c r="B32" s="8"/>
      <c r="C32" s="8"/>
      <c r="D32" s="8"/>
    </row>
    <row r="33" ht="22.5" customHeight="1">
      <c r="A33" s="8"/>
      <c r="B33" s="8"/>
      <c r="C33" s="8"/>
      <c r="D33" s="8"/>
    </row>
    <row r="34" ht="22.5" customHeight="1">
      <c r="A34" s="8"/>
      <c r="B34" s="8"/>
      <c r="C34" s="8"/>
      <c r="D34" s="8"/>
    </row>
    <row r="35" ht="22.5" customHeight="1">
      <c r="A35" s="8"/>
      <c r="B35" s="8"/>
      <c r="C35" s="8"/>
      <c r="D35" s="8"/>
    </row>
    <row r="36" ht="22.5" customHeight="1">
      <c r="A36" s="8"/>
      <c r="B36" s="8"/>
      <c r="C36" s="8"/>
      <c r="D36" s="8"/>
    </row>
    <row r="37" ht="22.5" customHeight="1">
      <c r="A37" s="8"/>
      <c r="B37" s="8"/>
      <c r="C37" s="8"/>
      <c r="D37" s="8"/>
    </row>
    <row r="38" ht="22.5" customHeight="1">
      <c r="A38" s="8"/>
      <c r="B38" s="8"/>
      <c r="C38" s="8"/>
      <c r="D38" s="8"/>
    </row>
    <row r="39" ht="22.5" customHeight="1">
      <c r="A39" s="8"/>
      <c r="B39" s="8"/>
      <c r="C39" s="8"/>
      <c r="D39" s="8"/>
    </row>
    <row r="40" ht="22.5" customHeight="1">
      <c r="A40" s="8"/>
      <c r="B40" s="8"/>
      <c r="C40" s="8"/>
      <c r="D40" s="8"/>
    </row>
    <row r="41" ht="22.5" customHeight="1">
      <c r="A41" s="8"/>
      <c r="B41" s="8"/>
      <c r="C41" s="8"/>
      <c r="D41" s="8"/>
    </row>
    <row r="42" ht="22.5" customHeight="1">
      <c r="A42" s="8"/>
      <c r="B42" s="8"/>
      <c r="C42" s="8"/>
      <c r="D42" s="8"/>
    </row>
    <row r="43" ht="22.5" customHeight="1">
      <c r="A43" s="8"/>
      <c r="B43" s="8"/>
      <c r="C43" s="8"/>
      <c r="D43" s="8"/>
    </row>
    <row r="44" ht="22.5" customHeight="1">
      <c r="A44" s="8"/>
      <c r="B44" s="8"/>
      <c r="C44" s="8"/>
      <c r="D44" s="8"/>
    </row>
    <row r="45" ht="22.5" customHeight="1">
      <c r="A45" s="8"/>
      <c r="B45" s="8"/>
      <c r="C45" s="8"/>
      <c r="D45" s="8"/>
    </row>
    <row r="46" ht="22.5" customHeight="1">
      <c r="A46" s="8"/>
      <c r="B46" s="8"/>
      <c r="C46" s="8"/>
      <c r="D46" s="8"/>
    </row>
    <row r="47" ht="22.5" customHeight="1">
      <c r="A47" s="8"/>
      <c r="B47" s="8"/>
      <c r="C47" s="8"/>
      <c r="D47" s="8"/>
    </row>
    <row r="48" ht="22.5" customHeight="1">
      <c r="A48" s="8"/>
      <c r="B48" s="8"/>
      <c r="C48" s="8"/>
      <c r="D48" s="8"/>
    </row>
    <row r="49" ht="22.5" customHeight="1">
      <c r="A49" s="8"/>
      <c r="B49" s="8"/>
      <c r="C49" s="8"/>
      <c r="D49" s="8"/>
    </row>
    <row r="50" ht="22.5" customHeight="1">
      <c r="A50" s="8"/>
      <c r="B50" s="8"/>
      <c r="C50" s="8"/>
      <c r="D50" s="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24.38"/>
    <col customWidth="1" min="4" max="4" width="39.0"/>
    <col customWidth="1" hidden="1" min="5" max="6" width="7.13"/>
  </cols>
  <sheetData>
    <row r="1" ht="24.0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36</v>
      </c>
      <c r="F1" s="5" t="s">
        <v>37</v>
      </c>
    </row>
    <row r="2" ht="22.5" customHeight="1">
      <c r="A2" s="8" t="str">
        <f>IFERROR(__xludf.DUMMYFUNCTION("FILTER('All Menu'!A2:F1000,'All Menu'!F2:F1000=""Yes"")"),"#N/A")</f>
        <v>#N/A</v>
      </c>
      <c r="B2" s="8"/>
      <c r="C2" s="8"/>
      <c r="D2" s="8"/>
      <c r="E2" s="8"/>
      <c r="F2" s="8"/>
    </row>
    <row r="3" ht="22.5" customHeight="1">
      <c r="A3" s="8"/>
      <c r="B3" s="8"/>
      <c r="C3" s="15"/>
      <c r="D3" s="8"/>
      <c r="E3" s="8"/>
      <c r="F3" s="8"/>
    </row>
    <row r="4" ht="22.5" customHeight="1">
      <c r="A4" s="8"/>
      <c r="B4" s="8"/>
      <c r="C4" s="8"/>
      <c r="D4" s="8"/>
      <c r="E4" s="8"/>
      <c r="F4" s="8"/>
    </row>
    <row r="5" ht="22.5" customHeight="1">
      <c r="A5" s="8"/>
      <c r="B5" s="8"/>
      <c r="C5" s="8"/>
      <c r="D5" s="15"/>
      <c r="E5" s="15"/>
      <c r="F5" s="15"/>
    </row>
    <row r="6" ht="22.5" customHeight="1">
      <c r="A6" s="8"/>
      <c r="B6" s="8"/>
      <c r="C6" s="8"/>
      <c r="D6" s="15"/>
      <c r="E6" s="15"/>
      <c r="F6" s="15"/>
    </row>
    <row r="7" ht="22.5" customHeight="1">
      <c r="A7" s="8"/>
      <c r="B7" s="8"/>
      <c r="C7" s="8"/>
      <c r="D7" s="8"/>
      <c r="E7" s="8"/>
      <c r="F7" s="8"/>
    </row>
    <row r="8" ht="22.5" customHeight="1">
      <c r="A8" s="8"/>
      <c r="B8" s="8"/>
      <c r="C8" s="8"/>
      <c r="D8" s="8"/>
      <c r="E8" s="8"/>
      <c r="F8" s="8"/>
    </row>
    <row r="9" ht="22.5" customHeight="1">
      <c r="A9" s="8"/>
      <c r="B9" s="8"/>
      <c r="C9" s="8"/>
      <c r="D9" s="8"/>
      <c r="E9" s="8"/>
      <c r="F9" s="8"/>
    </row>
    <row r="10" ht="22.5" customHeight="1">
      <c r="A10" s="8"/>
      <c r="B10" s="8"/>
      <c r="C10" s="8"/>
      <c r="D10" s="8"/>
      <c r="E10" s="8"/>
      <c r="F10" s="8"/>
    </row>
    <row r="11" ht="22.5" customHeight="1">
      <c r="A11" s="8"/>
      <c r="B11" s="8"/>
      <c r="C11" s="8"/>
      <c r="D11" s="8"/>
      <c r="E11" s="8"/>
      <c r="F11" s="8"/>
    </row>
    <row r="12" ht="22.5" customHeight="1">
      <c r="A12" s="8"/>
      <c r="B12" s="8"/>
      <c r="C12" s="8"/>
      <c r="D12" s="8"/>
      <c r="E12" s="8"/>
      <c r="F12" s="8"/>
    </row>
    <row r="13" ht="22.5" customHeight="1">
      <c r="A13" s="8"/>
      <c r="B13" s="8"/>
      <c r="C13" s="8"/>
      <c r="D13" s="8"/>
      <c r="E13" s="8"/>
      <c r="F13" s="8"/>
    </row>
    <row r="14" ht="22.5" customHeight="1">
      <c r="A14" s="8"/>
      <c r="B14" s="8"/>
      <c r="C14" s="8"/>
      <c r="D14" s="8"/>
      <c r="E14" s="8"/>
      <c r="F14" s="8"/>
    </row>
    <row r="15" ht="22.5" customHeight="1">
      <c r="A15" s="8"/>
      <c r="B15" s="8"/>
      <c r="C15" s="8"/>
      <c r="D15" s="16"/>
      <c r="E15" s="8"/>
      <c r="F15" s="8"/>
    </row>
    <row r="16" ht="22.5" customHeight="1">
      <c r="A16" s="8"/>
      <c r="B16" s="8"/>
      <c r="C16" s="8"/>
      <c r="D16" s="8"/>
      <c r="E16" s="8"/>
      <c r="F16" s="8"/>
    </row>
    <row r="17" ht="22.5" customHeight="1">
      <c r="A17" s="8"/>
      <c r="B17" s="8"/>
      <c r="C17" s="8"/>
      <c r="D17" s="8"/>
      <c r="E17" s="8"/>
      <c r="F17" s="8"/>
    </row>
    <row r="18" ht="22.5" customHeight="1">
      <c r="A18" s="8"/>
      <c r="B18" s="8"/>
      <c r="C18" s="8"/>
      <c r="D18" s="8"/>
      <c r="E18" s="8"/>
      <c r="F18" s="8"/>
    </row>
    <row r="19" ht="22.5" customHeight="1">
      <c r="A19" s="8"/>
      <c r="B19" s="8"/>
      <c r="C19" s="8"/>
      <c r="D19" s="8"/>
      <c r="E19" s="8"/>
      <c r="F19" s="8"/>
    </row>
    <row r="20" ht="22.5" customHeight="1">
      <c r="A20" s="8"/>
      <c r="B20" s="8"/>
      <c r="C20" s="8"/>
      <c r="D20" s="8"/>
      <c r="E20" s="8"/>
      <c r="F20" s="8"/>
    </row>
    <row r="21" ht="22.5" customHeight="1">
      <c r="A21" s="8"/>
      <c r="B21" s="8"/>
      <c r="C21" s="8"/>
      <c r="D21" s="8"/>
      <c r="E21" s="8"/>
      <c r="F21" s="8"/>
    </row>
    <row r="22" ht="22.5" customHeight="1">
      <c r="A22" s="8"/>
      <c r="B22" s="8"/>
      <c r="C22" s="8"/>
      <c r="D22" s="8"/>
      <c r="E22" s="8"/>
      <c r="F22" s="8"/>
    </row>
    <row r="23" ht="22.5" customHeight="1">
      <c r="A23" s="8"/>
      <c r="B23" s="8"/>
      <c r="C23" s="8"/>
      <c r="D23" s="8"/>
      <c r="E23" s="8"/>
      <c r="F23" s="8"/>
    </row>
    <row r="24" ht="22.5" customHeight="1">
      <c r="A24" s="8"/>
      <c r="B24" s="8"/>
      <c r="C24" s="8"/>
      <c r="D24" s="8"/>
      <c r="E24" s="8"/>
      <c r="F24" s="8"/>
    </row>
    <row r="25" ht="22.5" customHeight="1">
      <c r="A25" s="8"/>
      <c r="B25" s="8"/>
      <c r="C25" s="8"/>
      <c r="D25" s="8"/>
      <c r="E25" s="8"/>
      <c r="F25" s="8"/>
    </row>
    <row r="26" ht="22.5" customHeight="1">
      <c r="A26" s="8"/>
      <c r="B26" s="8"/>
      <c r="C26" s="8"/>
      <c r="D26" s="8"/>
      <c r="E26" s="8"/>
      <c r="F26" s="8"/>
    </row>
    <row r="27" ht="22.5" customHeight="1">
      <c r="A27" s="8"/>
      <c r="B27" s="8"/>
      <c r="C27" s="8"/>
      <c r="D27" s="8"/>
      <c r="E27" s="8"/>
      <c r="F27" s="8"/>
    </row>
    <row r="28" ht="22.5" customHeight="1">
      <c r="A28" s="8"/>
      <c r="B28" s="8"/>
      <c r="C28" s="8"/>
      <c r="D28" s="8"/>
      <c r="E28" s="8"/>
      <c r="F28" s="8"/>
    </row>
    <row r="29" ht="22.5" customHeight="1">
      <c r="A29" s="8"/>
      <c r="B29" s="8"/>
      <c r="C29" s="8"/>
      <c r="D29" s="8"/>
      <c r="E29" s="8"/>
      <c r="F29" s="8"/>
    </row>
    <row r="30" ht="22.5" customHeight="1">
      <c r="A30" s="8"/>
      <c r="B30" s="8"/>
      <c r="C30" s="8"/>
      <c r="D30" s="8"/>
      <c r="E30" s="8"/>
      <c r="F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4" width="12.63"/>
    <col customWidth="1" min="5" max="5" width="30.75"/>
    <col customWidth="1" min="6" max="6" width="12.63"/>
  </cols>
  <sheetData>
    <row r="1" ht="15.75" customHeight="1">
      <c r="A1" s="2"/>
      <c r="B1" s="2"/>
      <c r="C1" s="2"/>
      <c r="D1" s="2"/>
      <c r="E1" s="3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13"/>
    <col customWidth="1" min="2" max="2" width="17.63"/>
    <col customWidth="1" min="3" max="3" width="13.25"/>
    <col customWidth="1" min="4" max="5" width="15.38"/>
    <col customWidth="1" min="6" max="6" width="32.25"/>
    <col customWidth="1" min="7" max="7" width="13.88"/>
    <col customWidth="1" min="8" max="8" width="18.0"/>
    <col customWidth="1" min="9" max="9" width="13.88"/>
  </cols>
  <sheetData>
    <row r="1" ht="22.5" customHeight="1">
      <c r="A1" s="4" t="s">
        <v>38</v>
      </c>
      <c r="B1" s="4" t="s">
        <v>39</v>
      </c>
      <c r="C1" s="4" t="s">
        <v>14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5" t="s">
        <v>45</v>
      </c>
    </row>
    <row r="2" ht="22.5" customHeight="1">
      <c r="A2" s="8"/>
      <c r="B2" s="8"/>
      <c r="C2" s="8"/>
      <c r="D2" s="8"/>
      <c r="E2" s="17"/>
      <c r="F2" s="8"/>
      <c r="G2" s="17"/>
      <c r="H2" s="16"/>
      <c r="I2" s="1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C2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3.25"/>
    <col customWidth="1" min="2" max="2" width="55.75"/>
    <col customWidth="1" min="3" max="6" width="12.63"/>
  </cols>
  <sheetData>
    <row r="1" ht="15.75" customHeight="1">
      <c r="A1" s="19" t="s">
        <v>46</v>
      </c>
      <c r="B1" s="19"/>
    </row>
    <row r="2" ht="15.75" customHeight="1">
      <c r="A2" s="17"/>
      <c r="B2" s="20"/>
    </row>
    <row r="3" ht="15.75" customHeight="1">
      <c r="A3" s="17"/>
      <c r="B3" s="2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27.13"/>
    <col customWidth="1" min="3" max="3" width="21.38"/>
    <col customWidth="1" min="4" max="4" width="40.13"/>
    <col customWidth="1" min="5" max="5" width="29.13"/>
    <col customWidth="1" min="6" max="6" width="44.88"/>
  </cols>
  <sheetData>
    <row r="1" ht="22.5" customHeight="1">
      <c r="A1" s="5" t="s">
        <v>21</v>
      </c>
      <c r="B1" s="5" t="s">
        <v>47</v>
      </c>
      <c r="C1" s="5" t="s">
        <v>22</v>
      </c>
      <c r="D1" s="5" t="s">
        <v>48</v>
      </c>
      <c r="E1" s="5" t="s">
        <v>23</v>
      </c>
      <c r="F1" s="5" t="s">
        <v>49</v>
      </c>
    </row>
    <row r="2" ht="22.5" customHeight="1">
      <c r="A2" s="8" t="s">
        <v>50</v>
      </c>
      <c r="B2" s="21" t="s">
        <v>51</v>
      </c>
      <c r="C2" s="20" t="s">
        <v>52</v>
      </c>
      <c r="D2" s="20" t="s">
        <v>53</v>
      </c>
      <c r="E2" s="8" t="s">
        <v>54</v>
      </c>
      <c r="F2" s="22" t="s">
        <v>55</v>
      </c>
    </row>
    <row r="3" ht="22.5" customHeight="1">
      <c r="A3" s="8"/>
      <c r="B3" s="21"/>
      <c r="C3" s="20"/>
      <c r="D3" s="23"/>
      <c r="E3" s="8"/>
      <c r="F3" s="21"/>
    </row>
    <row r="4" ht="22.5" customHeight="1">
      <c r="A4" s="8"/>
      <c r="B4" s="21"/>
      <c r="C4" s="8"/>
      <c r="D4" s="22"/>
      <c r="E4" s="8"/>
      <c r="F4" s="22"/>
    </row>
    <row r="5" ht="22.5" customHeight="1">
      <c r="A5" s="8"/>
      <c r="B5" s="21"/>
      <c r="C5" s="8"/>
      <c r="D5" s="22"/>
      <c r="E5" s="8"/>
      <c r="F5" s="8"/>
    </row>
    <row r="6" ht="22.5" customHeight="1">
      <c r="A6" s="8"/>
      <c r="B6" s="21"/>
      <c r="C6" s="8"/>
      <c r="D6" s="22"/>
      <c r="E6" s="8"/>
      <c r="F6" s="8"/>
    </row>
    <row r="7" ht="22.5" customHeight="1">
      <c r="A7" s="8"/>
      <c r="B7" s="21"/>
      <c r="C7" s="8"/>
      <c r="D7" s="22"/>
      <c r="E7" s="8"/>
      <c r="F7" s="8"/>
    </row>
    <row r="8" ht="22.5" customHeight="1">
      <c r="A8" s="8"/>
      <c r="B8" s="21"/>
      <c r="C8" s="8"/>
      <c r="D8" s="22"/>
      <c r="E8" s="8"/>
      <c r="F8" s="8"/>
    </row>
    <row r="9" ht="22.5" customHeight="1">
      <c r="A9" s="8"/>
      <c r="B9" s="21"/>
      <c r="C9" s="8"/>
      <c r="D9" s="22"/>
      <c r="E9" s="8"/>
      <c r="F9" s="8"/>
    </row>
    <row r="10" ht="22.5" customHeight="1">
      <c r="A10" s="8"/>
      <c r="B10" s="21"/>
      <c r="C10" s="8"/>
      <c r="D10" s="22"/>
      <c r="E10" s="8"/>
      <c r="F10" s="8"/>
    </row>
    <row r="11" ht="22.5" customHeight="1">
      <c r="A11" s="8"/>
      <c r="B11" s="21"/>
      <c r="C11" s="8"/>
      <c r="D11" s="22"/>
      <c r="E11" s="20"/>
      <c r="F11" s="8"/>
    </row>
    <row r="12" ht="22.5" customHeight="1">
      <c r="A12" s="8"/>
      <c r="B12" s="21"/>
      <c r="C12" s="8"/>
      <c r="D12" s="22"/>
      <c r="E12" s="20"/>
      <c r="F12" s="22"/>
    </row>
    <row r="13" ht="22.5" customHeight="1">
      <c r="A13" s="8"/>
      <c r="B13" s="21"/>
      <c r="C13" s="8"/>
      <c r="D13" s="23"/>
      <c r="E13" s="8"/>
      <c r="F13" s="21"/>
    </row>
    <row r="14" ht="22.5" customHeight="1">
      <c r="A14" s="8"/>
      <c r="B14" s="21"/>
      <c r="C14" s="8"/>
      <c r="D14" s="23"/>
      <c r="E14" s="8"/>
      <c r="F14" s="21"/>
    </row>
    <row r="15" ht="22.5" customHeight="1">
      <c r="A15" s="8"/>
      <c r="B15" s="21"/>
      <c r="C15" s="8"/>
      <c r="D15" s="22"/>
      <c r="E15" s="8"/>
      <c r="F15" s="24"/>
    </row>
    <row r="16" ht="22.5" customHeight="1">
      <c r="A16" s="8"/>
      <c r="B16" s="21"/>
      <c r="C16" s="8"/>
      <c r="D16" s="22"/>
      <c r="E16" s="20"/>
      <c r="F16" s="22"/>
    </row>
    <row r="17" ht="22.5" customHeight="1">
      <c r="A17" s="8"/>
      <c r="B17" s="21"/>
      <c r="C17" s="8"/>
      <c r="D17" s="22"/>
      <c r="E17" s="20"/>
      <c r="F17" s="22"/>
    </row>
    <row r="18" ht="22.5" customHeight="1">
      <c r="A18" s="8"/>
      <c r="B18" s="21"/>
      <c r="C18" s="8"/>
      <c r="D18" s="22"/>
      <c r="E18" s="20"/>
      <c r="F18" s="22"/>
    </row>
    <row r="19" ht="22.5" customHeight="1">
      <c r="A19" s="8"/>
      <c r="B19" s="21"/>
      <c r="C19" s="8"/>
      <c r="D19" s="22"/>
      <c r="E19" s="8"/>
      <c r="F19" s="22"/>
    </row>
    <row r="20" ht="22.5" customHeight="1">
      <c r="A20" s="8"/>
      <c r="B20" s="21"/>
      <c r="C20" s="8"/>
      <c r="D20" s="22"/>
      <c r="E20" s="8"/>
      <c r="F20" s="22"/>
    </row>
    <row r="21" ht="22.5" customHeight="1">
      <c r="A21" s="8"/>
      <c r="B21" s="21"/>
      <c r="C21" s="8"/>
      <c r="D21" s="22"/>
      <c r="E21" s="8"/>
      <c r="F21" s="8"/>
    </row>
    <row r="22" ht="22.5" customHeight="1">
      <c r="A22" s="8"/>
      <c r="B22" s="21"/>
      <c r="C22" s="8"/>
      <c r="D22" s="22"/>
      <c r="E22" s="8"/>
      <c r="F22" s="22"/>
    </row>
    <row r="23" ht="22.5" customHeight="1">
      <c r="A23" s="8"/>
      <c r="B23" s="21"/>
      <c r="C23" s="8"/>
      <c r="D23" s="22"/>
      <c r="E23" s="8"/>
      <c r="F23" s="21"/>
    </row>
    <row r="24" ht="22.5" customHeight="1">
      <c r="A24" s="8"/>
      <c r="B24" s="21"/>
      <c r="C24" s="8"/>
      <c r="D24" s="22"/>
      <c r="E24" s="8"/>
      <c r="F24" s="21"/>
    </row>
    <row r="25" ht="22.5" customHeight="1">
      <c r="A25" s="8"/>
      <c r="B25" s="21"/>
      <c r="C25" s="8"/>
      <c r="D25" s="22"/>
      <c r="E25" s="8"/>
      <c r="F25" s="22"/>
    </row>
    <row r="26" ht="22.5" customHeight="1">
      <c r="A26" s="8"/>
      <c r="B26" s="21"/>
      <c r="C26" s="8"/>
      <c r="D26" s="22"/>
      <c r="E26" s="8"/>
      <c r="F26" s="22"/>
    </row>
    <row r="27" ht="22.5" customHeight="1">
      <c r="A27" s="8"/>
      <c r="B27" s="21"/>
      <c r="C27" s="8"/>
      <c r="D27" s="22"/>
      <c r="E27" s="8"/>
      <c r="F27" s="22"/>
    </row>
    <row r="28" ht="22.5" customHeight="1">
      <c r="A28" s="8"/>
      <c r="B28" s="21"/>
      <c r="C28" s="8"/>
      <c r="D28" s="22"/>
      <c r="E28" s="8"/>
      <c r="F28" s="22"/>
    </row>
    <row r="29" ht="22.5" customHeight="1">
      <c r="A29" s="8"/>
      <c r="B29" s="21"/>
      <c r="C29" s="8"/>
      <c r="D29" s="22"/>
      <c r="E29" s="8"/>
      <c r="F29" s="22"/>
    </row>
    <row r="30" ht="22.5" customHeight="1">
      <c r="A30" s="8"/>
      <c r="B30" s="21"/>
      <c r="C30" s="8"/>
      <c r="D30" s="22"/>
      <c r="E30" s="8"/>
      <c r="F30" s="21"/>
    </row>
    <row r="31" ht="22.5" customHeight="1">
      <c r="A31" s="8"/>
      <c r="B31" s="21"/>
      <c r="C31" s="8"/>
      <c r="D31" s="22"/>
      <c r="E31" s="8"/>
      <c r="F31" s="22"/>
    </row>
    <row r="32" ht="22.5" customHeight="1">
      <c r="A32" s="8"/>
      <c r="B32" s="21"/>
      <c r="C32" s="8"/>
      <c r="D32" s="22"/>
      <c r="E32" s="8"/>
      <c r="F32" s="22"/>
    </row>
    <row r="33" ht="22.5" customHeight="1">
      <c r="A33" s="8"/>
      <c r="B33" s="21"/>
      <c r="C33" s="8"/>
      <c r="D33" s="8"/>
      <c r="E33" s="8"/>
      <c r="F33" s="8"/>
    </row>
    <row r="34" ht="22.5" customHeight="1">
      <c r="A34" s="8"/>
      <c r="B34" s="22"/>
      <c r="C34" s="8"/>
      <c r="D34" s="23"/>
      <c r="E34" s="8"/>
      <c r="F34" s="22"/>
    </row>
    <row r="35" ht="22.5" customHeight="1">
      <c r="A35" s="8"/>
      <c r="B35" s="22"/>
      <c r="C35" s="8"/>
      <c r="D35" s="23"/>
      <c r="E35" s="8"/>
      <c r="F35" s="22"/>
    </row>
    <row r="36" ht="22.5" customHeight="1">
      <c r="A36" s="8"/>
      <c r="B36" s="22"/>
      <c r="C36" s="8"/>
      <c r="D36" s="23"/>
      <c r="E36" s="25"/>
      <c r="F36" s="8"/>
    </row>
    <row r="37" ht="22.5" customHeight="1">
      <c r="A37" s="8"/>
      <c r="B37" s="22"/>
      <c r="C37" s="8"/>
      <c r="D37" s="23"/>
      <c r="E37" s="25"/>
      <c r="F37" s="8"/>
    </row>
    <row r="38" ht="22.5" customHeight="1">
      <c r="A38" s="8"/>
      <c r="B38" s="21"/>
      <c r="C38" s="8"/>
      <c r="D38" s="21"/>
      <c r="E38" s="25"/>
      <c r="F38" s="8"/>
    </row>
    <row r="39" ht="22.5" customHeight="1">
      <c r="A39" s="8"/>
      <c r="B39" s="21"/>
      <c r="C39" s="8"/>
      <c r="D39" s="21"/>
      <c r="E39" s="8"/>
      <c r="F39" s="26"/>
    </row>
    <row r="40" ht="22.5" customHeight="1">
      <c r="A40" s="8"/>
      <c r="B40" s="24"/>
      <c r="C40" s="8"/>
      <c r="D40" s="24"/>
      <c r="E40" s="8"/>
      <c r="F40" s="27"/>
    </row>
    <row r="41" ht="22.5" customHeight="1">
      <c r="A41" s="8"/>
      <c r="B41" s="24"/>
      <c r="C41" s="8"/>
      <c r="D41" s="24"/>
      <c r="E41" s="8"/>
      <c r="F41" s="21"/>
    </row>
    <row r="42" ht="22.5" customHeight="1">
      <c r="A42" s="8"/>
      <c r="B42" s="22"/>
      <c r="C42" s="8"/>
      <c r="D42" s="23"/>
      <c r="E42" s="8"/>
      <c r="F42" s="28"/>
    </row>
    <row r="43" ht="22.5" customHeight="1">
      <c r="A43" s="8"/>
      <c r="B43" s="22"/>
      <c r="C43" s="8"/>
      <c r="D43" s="23"/>
      <c r="E43" s="8"/>
      <c r="F43" s="21"/>
    </row>
    <row r="44" ht="22.5" customHeight="1">
      <c r="A44" s="8"/>
      <c r="B44" s="22"/>
      <c r="C44" s="8"/>
      <c r="D44" s="22"/>
      <c r="E44" s="8"/>
      <c r="F44" s="21"/>
    </row>
    <row r="45" ht="22.5" customHeight="1">
      <c r="A45" s="8"/>
      <c r="B45" s="21"/>
      <c r="C45" s="8"/>
      <c r="D45" s="29"/>
      <c r="E45" s="8"/>
      <c r="F45" s="21"/>
    </row>
    <row r="46" ht="22.5" customHeight="1">
      <c r="A46" s="8"/>
      <c r="B46" s="22"/>
      <c r="C46" s="8"/>
      <c r="D46" s="23"/>
      <c r="E46" s="8"/>
      <c r="F46" s="21"/>
    </row>
    <row r="47" ht="22.5" customHeight="1">
      <c r="A47" s="8"/>
      <c r="B47" s="22"/>
      <c r="C47" s="8"/>
      <c r="D47" s="23"/>
      <c r="E47" s="8"/>
      <c r="F47" s="21"/>
    </row>
    <row r="48" ht="22.5" customHeight="1">
      <c r="A48" s="8"/>
      <c r="B48" s="22"/>
      <c r="C48" s="8"/>
      <c r="D48" s="23"/>
      <c r="E48" s="8"/>
      <c r="F48" s="21"/>
    </row>
    <row r="49" ht="22.5" customHeight="1">
      <c r="A49" s="8"/>
      <c r="B49" s="22"/>
      <c r="C49" s="8"/>
      <c r="D49" s="23"/>
      <c r="E49" s="8"/>
      <c r="F49" s="21"/>
    </row>
    <row r="50" ht="22.5" customHeight="1">
      <c r="A50" s="8"/>
      <c r="B50" s="22"/>
      <c r="C50" s="8"/>
      <c r="D50" s="23"/>
      <c r="E50" s="8"/>
      <c r="F50" s="24"/>
    </row>
    <row r="51" ht="22.5" customHeight="1">
      <c r="A51" s="8"/>
      <c r="B51" s="24"/>
      <c r="C51" s="8"/>
      <c r="D51" s="24"/>
      <c r="E51" s="8"/>
      <c r="F51" s="24"/>
    </row>
    <row r="52" ht="22.5" customHeight="1">
      <c r="A52" s="8"/>
      <c r="B52" s="24"/>
      <c r="C52" s="8"/>
      <c r="D52" s="24"/>
      <c r="E52" s="8"/>
      <c r="F52" s="24"/>
    </row>
    <row r="53" ht="22.5" customHeight="1">
      <c r="A53" s="8"/>
      <c r="B53" s="24"/>
      <c r="C53" s="8"/>
      <c r="D53" s="24"/>
      <c r="E53" s="8"/>
      <c r="F53" s="21"/>
    </row>
    <row r="54" ht="22.5" customHeight="1">
      <c r="A54" s="8"/>
      <c r="B54" s="24"/>
      <c r="C54" s="8"/>
      <c r="D54" s="24"/>
      <c r="E54" s="8"/>
      <c r="F54" s="24"/>
    </row>
    <row r="55" ht="22.5" customHeight="1">
      <c r="A55" s="8"/>
      <c r="B55" s="24"/>
      <c r="C55" s="8"/>
      <c r="D55" s="24"/>
      <c r="E55" s="8"/>
      <c r="F55" s="24"/>
    </row>
    <row r="56" ht="22.5" customHeight="1">
      <c r="A56" s="8"/>
      <c r="B56" s="24"/>
      <c r="C56" s="8"/>
      <c r="D56" s="24"/>
      <c r="E56" s="8"/>
      <c r="F56" s="24"/>
    </row>
    <row r="57" ht="22.5" customHeight="1">
      <c r="A57" s="8"/>
      <c r="B57" s="24"/>
      <c r="C57" s="8"/>
      <c r="D57" s="24"/>
      <c r="E57" s="8"/>
      <c r="F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6" width="12.63"/>
  </cols>
  <sheetData>
    <row r="1" ht="15.75" customHeight="1">
      <c r="A1" s="30"/>
    </row>
    <row r="2" ht="15.75" customHeight="1">
      <c r="A2" s="1"/>
    </row>
    <row r="3" ht="15.75" customHeight="1">
      <c r="A3" s="1"/>
    </row>
    <row r="4" ht="15.75" customHeight="1">
      <c r="A4" s="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7.88"/>
    <col customWidth="1" min="3" max="6" width="12.63"/>
  </cols>
  <sheetData>
    <row r="1" ht="15.75" customHeight="1"/>
    <row r="2" ht="15.75" customHeight="1">
      <c r="A2" s="31"/>
      <c r="B2" s="3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0.38"/>
    <col customWidth="1" min="3" max="3" width="18.0"/>
    <col customWidth="1" min="4" max="4" width="7.38"/>
    <col customWidth="1" min="5" max="5" width="45.38"/>
    <col customWidth="1" min="6" max="6" width="30.75"/>
  </cols>
  <sheetData>
    <row r="1" ht="22.5" customHeight="1">
      <c r="A1" s="4" t="s">
        <v>56</v>
      </c>
      <c r="B1" s="4" t="s">
        <v>57</v>
      </c>
      <c r="C1" s="4" t="s">
        <v>58</v>
      </c>
      <c r="D1" s="5" t="s">
        <v>59</v>
      </c>
      <c r="E1" s="4" t="s">
        <v>60</v>
      </c>
      <c r="F1" s="4" t="s">
        <v>61</v>
      </c>
    </row>
    <row r="2" ht="22.5" customHeight="1">
      <c r="A2" s="8" t="s">
        <v>62</v>
      </c>
      <c r="B2" s="8" t="s">
        <v>63</v>
      </c>
      <c r="C2" s="22" t="s">
        <v>64</v>
      </c>
      <c r="D2" s="18">
        <v>5.0</v>
      </c>
      <c r="E2" s="8" t="s">
        <v>65</v>
      </c>
      <c r="F2" s="8"/>
    </row>
    <row r="3" ht="22.5" customHeight="1">
      <c r="A3" s="8"/>
      <c r="B3" s="8"/>
      <c r="C3" s="8"/>
      <c r="D3" s="18"/>
      <c r="E3" s="8"/>
      <c r="F3" s="8"/>
    </row>
    <row r="4" ht="22.5" customHeight="1">
      <c r="A4" s="8"/>
      <c r="B4" s="8"/>
      <c r="C4" s="22"/>
      <c r="D4" s="18"/>
      <c r="E4" s="8"/>
      <c r="F4" s="8"/>
    </row>
    <row r="5" ht="22.5" customHeight="1">
      <c r="A5" s="8"/>
      <c r="B5" s="8"/>
      <c r="C5" s="8"/>
      <c r="D5" s="18"/>
      <c r="E5" s="8"/>
      <c r="F5" s="8"/>
    </row>
    <row r="6" ht="22.5" customHeight="1">
      <c r="A6" s="8"/>
      <c r="B6" s="8"/>
      <c r="C6" s="33"/>
      <c r="D6" s="18"/>
      <c r="E6" s="8"/>
      <c r="F6" s="8"/>
    </row>
    <row r="7" ht="22.5" customHeight="1">
      <c r="A7" s="8"/>
      <c r="B7" s="8"/>
      <c r="C7" s="34"/>
      <c r="D7" s="18"/>
      <c r="E7" s="8"/>
      <c r="F7" s="8"/>
    </row>
    <row r="8" ht="22.5" customHeight="1">
      <c r="A8" s="8"/>
      <c r="B8" s="8"/>
      <c r="C8" s="22"/>
      <c r="D8" s="18"/>
      <c r="E8" s="8"/>
      <c r="F8" s="8"/>
    </row>
    <row r="9" ht="22.5" customHeight="1">
      <c r="A9" s="8"/>
      <c r="B9" s="8"/>
      <c r="C9" s="22"/>
      <c r="D9" s="18"/>
      <c r="E9" s="8"/>
      <c r="F9" s="8"/>
    </row>
    <row r="10" ht="22.5" customHeight="1">
      <c r="A10" s="8"/>
      <c r="B10" s="8"/>
      <c r="C10" s="8"/>
      <c r="D10" s="18"/>
      <c r="E10" s="8"/>
      <c r="F10" s="8"/>
    </row>
    <row r="11" ht="22.5" customHeight="1">
      <c r="A11" s="8"/>
      <c r="B11" s="8"/>
      <c r="C11" s="22"/>
      <c r="D11" s="18"/>
      <c r="E11" s="8"/>
      <c r="F11" s="8"/>
    </row>
    <row r="12" ht="22.5" customHeight="1">
      <c r="A12" s="8"/>
      <c r="B12" s="8"/>
      <c r="C12" s="22"/>
      <c r="D12" s="18"/>
      <c r="E12" s="8"/>
      <c r="F12" s="8"/>
    </row>
    <row r="13" ht="22.5" customHeight="1">
      <c r="A13" s="8"/>
      <c r="B13" s="8"/>
      <c r="C13" s="22"/>
      <c r="D13" s="18"/>
      <c r="E13" s="8"/>
      <c r="F13" s="8"/>
    </row>
    <row r="14" ht="22.5" customHeight="1">
      <c r="A14" s="8"/>
      <c r="B14" s="8"/>
      <c r="C14" s="22"/>
      <c r="D14" s="18"/>
      <c r="E14" s="8"/>
      <c r="F14" s="8"/>
    </row>
    <row r="15" ht="22.5" customHeight="1">
      <c r="A15" s="8"/>
      <c r="B15" s="8"/>
      <c r="C15" s="8"/>
      <c r="D15" s="18"/>
      <c r="E15" s="8"/>
      <c r="F15" s="8"/>
    </row>
    <row r="16" ht="22.5" customHeight="1">
      <c r="A16" s="8"/>
      <c r="B16" s="8"/>
      <c r="C16" s="22"/>
      <c r="D16" s="18"/>
      <c r="E16" s="8"/>
      <c r="F16" s="8"/>
    </row>
    <row r="17" ht="22.5" customHeight="1">
      <c r="A17" s="8"/>
      <c r="B17" s="8"/>
      <c r="C17" s="22"/>
      <c r="D17" s="18"/>
      <c r="E17" s="8"/>
      <c r="F17" s="8"/>
    </row>
    <row r="18" ht="22.5" customHeight="1">
      <c r="A18" s="8"/>
      <c r="B18" s="8"/>
      <c r="C18" s="8"/>
      <c r="D18" s="18"/>
      <c r="E18" s="8"/>
      <c r="F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